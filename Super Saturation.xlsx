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uagctr-my.sharepoint.com/personal/rcarcamo_agcenter_lsu_edu/Documents/Documents/Audubon Sugar Institute/Calculators/"/>
    </mc:Choice>
  </mc:AlternateContent>
  <xr:revisionPtr revIDLastSave="797" documentId="13_ncr:1_{6276D9C8-0D96-4553-9A12-2F81C15C509C}" xr6:coauthVersionLast="47" xr6:coauthVersionMax="47" xr10:uidLastSave="{39E7E008-C752-4B98-8ABE-A12D13644890}"/>
  <bookViews>
    <workbookView xWindow="-30828" yWindow="-108" windowWidth="30936" windowHeight="16776" xr2:uid="{91E9A157-B201-4E26-B860-3C6D1292ABAB}"/>
  </bookViews>
  <sheets>
    <sheet name="SuperSaturation" sheetId="4" r:id="rId1"/>
  </sheets>
  <definedNames>
    <definedName name="solver_adj" localSheetId="0" hidden="1">SuperSaturation!$B$14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SuperSaturation!$B$31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1.25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3" i="4"/>
  <c r="B19" i="4"/>
  <c r="B12" i="4"/>
  <c r="B15" i="4" s="1"/>
  <c r="B17" i="4" s="1"/>
  <c r="B18" i="4" s="1"/>
  <c r="B20" i="4" l="1"/>
  <c r="B22" i="4"/>
  <c r="B23" i="4" s="1"/>
  <c r="B25" i="4" s="1"/>
  <c r="E7" i="4" l="1"/>
  <c r="E8" i="4" s="1"/>
  <c r="F7" i="4"/>
  <c r="F8" i="4" s="1"/>
  <c r="B21" i="4" s="1"/>
  <c r="B27" i="4"/>
  <c r="B29" i="4" s="1"/>
  <c r="D7" i="4"/>
  <c r="D8" i="4" s="1"/>
  <c r="C7" i="4"/>
  <c r="C8" i="4" s="1"/>
  <c r="B7" i="4"/>
  <c r="B8" i="4" s="1"/>
  <c r="B24" i="4" l="1"/>
  <c r="B31" i="4"/>
  <c r="B26" i="4" l="1"/>
  <c r="B28" i="4"/>
  <c r="B30" i="4" l="1"/>
</calcChain>
</file>

<file path=xl/sharedStrings.xml><?xml version="1.0" encoding="utf-8"?>
<sst xmlns="http://schemas.openxmlformats.org/spreadsheetml/2006/main" count="34" uniqueCount="31">
  <si>
    <t>m</t>
  </si>
  <si>
    <t>b</t>
  </si>
  <si>
    <t>c</t>
  </si>
  <si>
    <t>Fsat=m*(NSW)+b+(1-b)*EXP(C*NSW)</t>
  </si>
  <si>
    <t>NS/W</t>
  </si>
  <si>
    <t>SC</t>
  </si>
  <si>
    <t>Vavrinecz</t>
  </si>
  <si>
    <t xml:space="preserve">Coef. Wicklund </t>
  </si>
  <si>
    <r>
      <t>Temperature (</t>
    </r>
    <r>
      <rPr>
        <sz val="11"/>
        <color theme="1"/>
        <rFont val="Aptos Narrow"/>
        <family val="2"/>
      </rPr>
      <t>˚C)</t>
    </r>
  </si>
  <si>
    <t>Rozsa</t>
  </si>
  <si>
    <t>S/W Pure Solution at Saturation</t>
  </si>
  <si>
    <t>S/W Impure Solution at Saturation</t>
  </si>
  <si>
    <t>Brix Saturation Impure solution (%)</t>
  </si>
  <si>
    <t>Brix Saturation Pure solution (%)</t>
  </si>
  <si>
    <t>Sucrose Saturation Pure solution (%)</t>
  </si>
  <si>
    <t>Sucrose Saturation Impure solution (%)</t>
  </si>
  <si>
    <t>Purity Saturation Pure solution (%)</t>
  </si>
  <si>
    <t>Purity Saturation Impure solution (%)</t>
  </si>
  <si>
    <t>Brix Saturation pure solution Vavrinecz (1962) (%)</t>
  </si>
  <si>
    <t>Georgieva</t>
  </si>
  <si>
    <t>Exhaustion Target</t>
  </si>
  <si>
    <t>Mother liquor Brix (%)</t>
  </si>
  <si>
    <t>NS</t>
  </si>
  <si>
    <t>W</t>
  </si>
  <si>
    <t>Morales</t>
  </si>
  <si>
    <t>S</t>
  </si>
  <si>
    <t>SS</t>
  </si>
  <si>
    <t>Mother liquor True Purity (%)</t>
  </si>
  <si>
    <t>Mother liquor Aparent Purity (%)</t>
  </si>
  <si>
    <t>Purity HPLC from Aparent Purity</t>
  </si>
  <si>
    <t>Selected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</si>
</sst>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2" fontId="0" fillId="0" borderId="0" xfId="0" applyNumberFormat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34DF-5BF5-44E1-ACAE-CFCF056EB139}">
  <dimension ref="A1:F31"/>
  <sheetViews>
    <sheetView tabSelected="1" workbookViewId="0">
      <selection activeCell="E20" sqref="E20"/>
    </sheetView>
  </sheetViews>
  <sheetFormatPr defaultRowHeight="14.4" x14ac:dyDescent="0.3"/>
  <cols>
    <col min="1" max="1" width="44" bestFit="1" customWidth="1"/>
    <col min="2" max="2" width="9.109375" bestFit="1" customWidth="1"/>
    <col min="3" max="3" width="9.44140625" bestFit="1" customWidth="1"/>
    <col min="4" max="4" width="6.21875" bestFit="1" customWidth="1"/>
    <col min="5" max="5" width="7.88671875" bestFit="1" customWidth="1"/>
    <col min="6" max="6" width="14.5546875" bestFit="1" customWidth="1"/>
  </cols>
  <sheetData>
    <row r="1" spans="1:6" x14ac:dyDescent="0.3">
      <c r="A1" s="20" t="s">
        <v>20</v>
      </c>
      <c r="B1" s="20"/>
      <c r="C1" s="20"/>
      <c r="D1" s="20"/>
    </row>
    <row r="2" spans="1:6" x14ac:dyDescent="0.3">
      <c r="A2" s="2" t="s">
        <v>7</v>
      </c>
      <c r="B2" s="2" t="s">
        <v>6</v>
      </c>
      <c r="C2" s="2" t="s">
        <v>19</v>
      </c>
      <c r="D2" s="2" t="s">
        <v>9</v>
      </c>
      <c r="E2" s="2" t="s">
        <v>24</v>
      </c>
      <c r="F2" s="8" t="s">
        <v>30</v>
      </c>
    </row>
    <row r="3" spans="1:6" x14ac:dyDescent="0.3">
      <c r="A3" s="2" t="s">
        <v>0</v>
      </c>
      <c r="B3" s="5">
        <v>0.1376868944078648</v>
      </c>
      <c r="C3" s="5">
        <v>0.1</v>
      </c>
      <c r="D3" s="5">
        <v>6.2649999999999997E-2</v>
      </c>
      <c r="E3" s="5">
        <v>-6.5799999999999997E-2</v>
      </c>
      <c r="F3" s="19">
        <f>D3</f>
        <v>6.2649999999999997E-2</v>
      </c>
    </row>
    <row r="4" spans="1:6" x14ac:dyDescent="0.3">
      <c r="A4" s="2" t="s">
        <v>1</v>
      </c>
      <c r="B4" s="5">
        <v>0.69099999999999995</v>
      </c>
      <c r="C4" s="5">
        <v>0.4</v>
      </c>
      <c r="D4" s="5">
        <v>0.98199999999999998</v>
      </c>
      <c r="E4" s="5">
        <v>0.996</v>
      </c>
      <c r="F4" s="19">
        <f t="shared" ref="F4:F5" si="0">D4</f>
        <v>0.98199999999999998</v>
      </c>
    </row>
    <row r="5" spans="1:6" x14ac:dyDescent="0.3">
      <c r="A5" s="2" t="s">
        <v>2</v>
      </c>
      <c r="B5" s="5">
        <v>0</v>
      </c>
      <c r="C5" s="5">
        <v>-0.24</v>
      </c>
      <c r="D5" s="5">
        <v>-2.1</v>
      </c>
      <c r="E5" s="5">
        <v>-2.0985999999999998</v>
      </c>
      <c r="F5" s="19">
        <f t="shared" si="0"/>
        <v>-2.1</v>
      </c>
    </row>
    <row r="6" spans="1:6" x14ac:dyDescent="0.3">
      <c r="A6" s="22" t="s">
        <v>3</v>
      </c>
      <c r="B6" s="23"/>
      <c r="C6" s="23"/>
      <c r="D6" s="23"/>
      <c r="E6" s="23"/>
      <c r="F6" s="24"/>
    </row>
    <row r="7" spans="1:6" x14ac:dyDescent="0.3">
      <c r="A7" s="2" t="s">
        <v>4</v>
      </c>
      <c r="B7" s="3">
        <f>$B$20</f>
        <v>6.1566294806220059</v>
      </c>
      <c r="C7" s="3">
        <f>$B$20</f>
        <v>6.1566294806220059</v>
      </c>
      <c r="D7" s="3">
        <f>$B$20</f>
        <v>6.1566294806220059</v>
      </c>
      <c r="E7" s="3">
        <f>$B$20</f>
        <v>6.1566294806220059</v>
      </c>
      <c r="F7" s="7">
        <f>$B$20</f>
        <v>6.1566294806220059</v>
      </c>
    </row>
    <row r="8" spans="1:6" x14ac:dyDescent="0.3">
      <c r="A8" s="2" t="s">
        <v>5</v>
      </c>
      <c r="B8" s="3">
        <f>B3*B7+B4+(1-B4)*EXP(B5*B7)</f>
        <v>1.8476871932067498</v>
      </c>
      <c r="C8" s="3">
        <f>C3*C7+C4+(1-C4)*EXP(C5*C7)</f>
        <v>1.1525749749231282</v>
      </c>
      <c r="D8" s="3">
        <f>D3*D7+D4+(1-D4)*EXP(D5*D7)</f>
        <v>1.3677128806440295</v>
      </c>
      <c r="E8" s="3">
        <f>E3*E7+E4+(1-E4)*EXP(E5*E7)</f>
        <v>0.59089378996645081</v>
      </c>
      <c r="F8" s="7">
        <f>F3*F7+F4+(1-F4)*EXP(F5*F7)</f>
        <v>1.3677128806440295</v>
      </c>
    </row>
    <row r="9" spans="1:6" x14ac:dyDescent="0.3">
      <c r="B9" s="14"/>
      <c r="C9" s="14"/>
      <c r="D9" s="14"/>
      <c r="E9" s="14"/>
    </row>
    <row r="10" spans="1:6" x14ac:dyDescent="0.3">
      <c r="A10" s="21" t="s">
        <v>29</v>
      </c>
      <c r="B10" s="21"/>
      <c r="C10" s="14"/>
      <c r="D10" s="14"/>
      <c r="E10" s="14"/>
    </row>
    <row r="11" spans="1:6" x14ac:dyDescent="0.3">
      <c r="A11" s="9" t="s">
        <v>28</v>
      </c>
      <c r="B11" s="10">
        <v>31.31</v>
      </c>
      <c r="C11" s="14"/>
      <c r="D11" s="14"/>
      <c r="E11" s="14"/>
    </row>
    <row r="12" spans="1:6" x14ac:dyDescent="0.3">
      <c r="A12" s="15" t="s">
        <v>27</v>
      </c>
      <c r="B12" s="16">
        <f>B11/(B11*0.0019+0.8127)</f>
        <v>35.898182618675541</v>
      </c>
      <c r="C12" s="14"/>
      <c r="D12" s="14"/>
      <c r="E12" s="14"/>
    </row>
    <row r="14" spans="1:6" x14ac:dyDescent="0.3">
      <c r="A14" s="9" t="s">
        <v>21</v>
      </c>
      <c r="B14" s="10">
        <v>90.57</v>
      </c>
    </row>
    <row r="15" spans="1:6" x14ac:dyDescent="0.3">
      <c r="A15" s="17" t="s">
        <v>27</v>
      </c>
      <c r="B15" s="18">
        <f>B12</f>
        <v>35.898182618675541</v>
      </c>
    </row>
    <row r="16" spans="1:6" x14ac:dyDescent="0.3">
      <c r="A16" s="11" t="s">
        <v>8</v>
      </c>
      <c r="B16" s="10">
        <v>65.56</v>
      </c>
    </row>
    <row r="17" spans="1:4" x14ac:dyDescent="0.3">
      <c r="A17" s="4" t="s">
        <v>25</v>
      </c>
      <c r="B17" s="3">
        <f>B14*B15/100</f>
        <v>32.512983997734437</v>
      </c>
    </row>
    <row r="18" spans="1:4" x14ac:dyDescent="0.3">
      <c r="A18" s="1" t="s">
        <v>22</v>
      </c>
      <c r="B18" s="3">
        <f>B14-B17</f>
        <v>58.057016002265556</v>
      </c>
    </row>
    <row r="19" spans="1:4" x14ac:dyDescent="0.3">
      <c r="A19" s="1" t="s">
        <v>23</v>
      </c>
      <c r="B19" s="3">
        <f>100-B14</f>
        <v>9.4300000000000068</v>
      </c>
    </row>
    <row r="20" spans="1:4" x14ac:dyDescent="0.3">
      <c r="A20" s="1" t="s">
        <v>4</v>
      </c>
      <c r="B20" s="3">
        <f>B18/B19</f>
        <v>6.1566294806220059</v>
      </c>
    </row>
    <row r="21" spans="1:4" x14ac:dyDescent="0.3">
      <c r="A21" s="1" t="s">
        <v>5</v>
      </c>
      <c r="B21" s="3">
        <f>F8</f>
        <v>1.3677128806440295</v>
      </c>
    </row>
    <row r="22" spans="1:4" x14ac:dyDescent="0.3">
      <c r="A22" s="4" t="s">
        <v>18</v>
      </c>
      <c r="B22" s="3">
        <f>64.447+0.08222*B16+1.6169*10^(-3)*B16^2-1.558*10^(-6)*B16^3-4.63*10^(-8)*B16^4</f>
        <v>75.49260705940749</v>
      </c>
    </row>
    <row r="23" spans="1:4" x14ac:dyDescent="0.3">
      <c r="A23" s="4" t="s">
        <v>10</v>
      </c>
      <c r="B23" s="3">
        <f>B22/(100-B22)</f>
        <v>3.0804013810202662</v>
      </c>
    </row>
    <row r="24" spans="1:4" x14ac:dyDescent="0.3">
      <c r="A24" s="4" t="s">
        <v>11</v>
      </c>
      <c r="B24" s="3">
        <f>B23*B21</f>
        <v>4.2131046463750748</v>
      </c>
    </row>
    <row r="25" spans="1:4" x14ac:dyDescent="0.3">
      <c r="A25" s="4" t="s">
        <v>13</v>
      </c>
      <c r="B25" s="3">
        <f>(B23*B19+B18)/(B23*B19+B18+B19)*100</f>
        <v>90.231542587734509</v>
      </c>
    </row>
    <row r="26" spans="1:4" x14ac:dyDescent="0.3">
      <c r="A26" s="13" t="s">
        <v>12</v>
      </c>
      <c r="B26" s="12">
        <f>(B24*B19+B18)/(B24*B19+B18+B19)*100</f>
        <v>91.204719575407395</v>
      </c>
    </row>
    <row r="27" spans="1:4" x14ac:dyDescent="0.3">
      <c r="A27" s="4" t="s">
        <v>14</v>
      </c>
      <c r="B27" s="3">
        <f>(B23*B19)/(B23*B19+B18+B19)*100</f>
        <v>30.090769703180261</v>
      </c>
    </row>
    <row r="28" spans="1:4" x14ac:dyDescent="0.3">
      <c r="A28" s="4" t="s">
        <v>15</v>
      </c>
      <c r="B28" s="3">
        <f>(B24*B19)/(B24*B19+B18+B19)*100</f>
        <v>37.055436823022873</v>
      </c>
    </row>
    <row r="29" spans="1:4" x14ac:dyDescent="0.3">
      <c r="A29" s="4" t="s">
        <v>16</v>
      </c>
      <c r="B29" s="3">
        <f>B27/B25*100</f>
        <v>33.348393300405135</v>
      </c>
    </row>
    <row r="30" spans="1:4" x14ac:dyDescent="0.3">
      <c r="A30" s="4" t="s">
        <v>17</v>
      </c>
      <c r="B30" s="3">
        <f>B28/B26*100</f>
        <v>40.628858896261072</v>
      </c>
      <c r="D30" s="6"/>
    </row>
    <row r="31" spans="1:4" x14ac:dyDescent="0.3">
      <c r="A31" s="8" t="s">
        <v>26</v>
      </c>
      <c r="B31" s="19">
        <f>(B17/B19)/(B24)</f>
        <v>0.81835716873781739</v>
      </c>
    </row>
  </sheetData>
  <mergeCells count="3">
    <mergeCell ref="A1:D1"/>
    <mergeCell ref="A10:B10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SuperSaturation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Antonio Garcia Carcamo</dc:creator>
  <cp:lastModifiedBy>Carcamo, Ricardo</cp:lastModifiedBy>
  <cp:lastPrinted>2025-09-18T15:56:01Z</cp:lastPrinted>
  <dcterms:created xsi:type="dcterms:W3CDTF">2025-09-18T01:12:58Z</dcterms:created>
  <dcterms:modified xsi:type="dcterms:W3CDTF">2025-11-11T21:54:19Z</dcterms:modified>
</cp:coreProperties>
</file>