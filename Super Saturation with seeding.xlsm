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smsc2k22-dc\users$\ceaves\My Documents\Ricardo PhD stuff\"/>
    </mc:Choice>
  </mc:AlternateContent>
  <xr:revisionPtr revIDLastSave="0" documentId="13_ncr:1_{0F53255B-DEC0-428A-B910-FEA5672584B2}" xr6:coauthVersionLast="47" xr6:coauthVersionMax="47" xr10:uidLastSave="{00000000-0000-0000-0000-000000000000}"/>
  <bookViews>
    <workbookView xWindow="-120" yWindow="-120" windowWidth="29040" windowHeight="15840" activeTab="2" xr2:uid="{91E9A157-B201-4E26-B860-3C6D1292ABAB}"/>
  </bookViews>
  <sheets>
    <sheet name="SeedingPoint" sheetId="5" r:id="rId1"/>
    <sheet name="SuperSaturation" sheetId="4" r:id="rId2"/>
    <sheet name="Pan 7 11202025" sheetId="6" r:id="rId3"/>
  </sheets>
  <definedNames>
    <definedName name="solver_adj" localSheetId="0" hidden="1">SeedingPoint!$B$18</definedName>
    <definedName name="solver_adj" localSheetId="1" hidden="1">SuperSaturation!$B$14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SeedingPoint!$B$23</definedName>
    <definedName name="solver_opt" localSheetId="1" hidden="1">SuperSaturation!$B$31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2</definedName>
    <definedName name="solver_typ" localSheetId="1" hidden="1">3</definedName>
    <definedName name="solver_val" localSheetId="0" hidden="1">0</definedName>
    <definedName name="solver_val" localSheetId="1" hidden="1">1.25</definedName>
    <definedName name="solver_ver" localSheetId="0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6" l="1"/>
  <c r="H10" i="6"/>
  <c r="H9" i="6"/>
  <c r="H8" i="6"/>
  <c r="H7" i="6"/>
  <c r="H6" i="6"/>
  <c r="P7" i="4" l="1"/>
  <c r="P8" i="4"/>
  <c r="P9" i="4"/>
  <c r="P10" i="4"/>
  <c r="P11" i="4"/>
  <c r="P6" i="4"/>
  <c r="B16" i="4"/>
  <c r="B13" i="5"/>
  <c r="B15" i="5" s="1"/>
  <c r="B16" i="5" s="1"/>
  <c r="F4" i="4"/>
  <c r="F5" i="4"/>
  <c r="F3" i="4"/>
  <c r="F4" i="5"/>
  <c r="F5" i="5"/>
  <c r="F3" i="5"/>
  <c r="B10" i="5"/>
  <c r="B12" i="5" s="1"/>
  <c r="B17" i="5" s="1"/>
  <c r="B19" i="4"/>
  <c r="B12" i="4"/>
  <c r="B15" i="4" s="1"/>
  <c r="B17" i="4" s="1"/>
  <c r="B18" i="4" s="1"/>
  <c r="B20" i="5" l="1"/>
  <c r="B20" i="4"/>
  <c r="B22" i="4"/>
  <c r="B23" i="4" s="1"/>
  <c r="B25" i="4" s="1"/>
  <c r="E7" i="4" l="1"/>
  <c r="E8" i="4" s="1"/>
  <c r="F7" i="4"/>
  <c r="F8" i="4" s="1"/>
  <c r="B21" i="4" s="1"/>
  <c r="B27" i="4"/>
  <c r="B29" i="4" s="1"/>
  <c r="D7" i="4"/>
  <c r="D8" i="4" s="1"/>
  <c r="C7" i="4"/>
  <c r="C8" i="4" s="1"/>
  <c r="B7" i="4"/>
  <c r="B8" i="4" s="1"/>
  <c r="B24" i="4" l="1"/>
  <c r="B31" i="4" s="1"/>
  <c r="B26" i="4" l="1"/>
  <c r="B28" i="4"/>
  <c r="B30" i="4" l="1"/>
  <c r="B19" i="5" l="1"/>
  <c r="B21" i="5" s="1"/>
  <c r="B22" i="5" s="1"/>
  <c r="B23" i="5" s="1"/>
</calcChain>
</file>

<file path=xl/sharedStrings.xml><?xml version="1.0" encoding="utf-8"?>
<sst xmlns="http://schemas.openxmlformats.org/spreadsheetml/2006/main" count="88" uniqueCount="54">
  <si>
    <t>m</t>
  </si>
  <si>
    <t>b</t>
  </si>
  <si>
    <t>c</t>
  </si>
  <si>
    <t>Fsat=m*(NSW)+b+(1-b)*EXP(C*NSW)</t>
  </si>
  <si>
    <t>NS/W</t>
  </si>
  <si>
    <t>SC</t>
  </si>
  <si>
    <t>Vavrinecz</t>
  </si>
  <si>
    <t xml:space="preserve">Coef. Wicklund </t>
  </si>
  <si>
    <r>
      <t>Temperature (</t>
    </r>
    <r>
      <rPr>
        <sz val="11"/>
        <color theme="1"/>
        <rFont val="Aptos Narrow"/>
        <family val="2"/>
      </rPr>
      <t>˚C)</t>
    </r>
  </si>
  <si>
    <t>Rozsa</t>
  </si>
  <si>
    <t>S/W Pure Solution at Saturation</t>
  </si>
  <si>
    <t>S/W Impure Solution at Saturation</t>
  </si>
  <si>
    <t>Brix Saturation Impure solution (%)</t>
  </si>
  <si>
    <t>Brix Saturation Pure solution (%)</t>
  </si>
  <si>
    <t>Sucrose Saturation Pure solution (%)</t>
  </si>
  <si>
    <t>Sucrose Saturation Impure solution (%)</t>
  </si>
  <si>
    <t>Purity Saturation Pure solution (%)</t>
  </si>
  <si>
    <t>Purity Saturation Impure solution (%)</t>
  </si>
  <si>
    <t>Brix Saturation pure solution Vavrinecz (1962) (%)</t>
  </si>
  <si>
    <t>Georgieva</t>
  </si>
  <si>
    <t>Exhaustion Target</t>
  </si>
  <si>
    <t>Mother liquor Brix (%)</t>
  </si>
  <si>
    <t>NS</t>
  </si>
  <si>
    <t>W</t>
  </si>
  <si>
    <t>Morales</t>
  </si>
  <si>
    <t>Mother liquor Purity (%)</t>
  </si>
  <si>
    <t>S</t>
  </si>
  <si>
    <t>SS</t>
  </si>
  <si>
    <t>Mother liquor True Purity (%)</t>
  </si>
  <si>
    <t>Mother liquor Aparent Purity (%)</t>
  </si>
  <si>
    <t>Purity HPLC from Aparent Purity</t>
  </si>
  <si>
    <t>Selected Curve</t>
  </si>
  <si>
    <t>NS/(NS+S)</t>
  </si>
  <si>
    <t>S/W</t>
  </si>
  <si>
    <t>SS Target</t>
  </si>
  <si>
    <t>SS Difference</t>
  </si>
  <si>
    <r>
      <t>T (</t>
    </r>
    <r>
      <rPr>
        <sz val="11"/>
        <color theme="1"/>
        <rFont val="Aptos Narrow"/>
        <family val="2"/>
      </rPr>
      <t>˚F)</t>
    </r>
  </si>
  <si>
    <t>Time</t>
  </si>
  <si>
    <t>ML Purity</t>
  </si>
  <si>
    <t>ML Brix</t>
  </si>
  <si>
    <t>Stk Time</t>
  </si>
  <si>
    <t>Stk Temp</t>
  </si>
  <si>
    <t>Super Sat</t>
  </si>
  <si>
    <t>Start Pur</t>
  </si>
  <si>
    <t>End Pur</t>
  </si>
  <si>
    <t>Mass Pur</t>
  </si>
  <si>
    <t>Mas Pur</t>
  </si>
  <si>
    <t>Mas Brx</t>
  </si>
  <si>
    <t>Mas Temp</t>
  </si>
  <si>
    <t>%Crys brx</t>
  </si>
  <si>
    <t>Super Saturation Test</t>
  </si>
  <si>
    <t>Saint Mary Sugar Cooperative - Pan 7, A1 strike</t>
  </si>
  <si>
    <t>Footing Volume - 9875 gal.                Strike volume - 20945 gal</t>
  </si>
  <si>
    <t>Numbers for Super Saturation were calculated from Ricardo's Spreadsheet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</si>
</sst>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3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2" fontId="0" fillId="0" borderId="0" xfId="0" applyNumberFormat="1"/>
    <xf numFmtId="2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2" borderId="1" xfId="0" applyFill="1" applyBorder="1"/>
    <xf numFmtId="2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left"/>
    </xf>
    <xf numFmtId="2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3" borderId="1" xfId="0" applyFont="1" applyFill="1" applyBorder="1"/>
    <xf numFmtId="2" fontId="2" fillId="3" borderId="1" xfId="0" applyNumberFormat="1" applyFont="1" applyFill="1" applyBorder="1" applyAlignment="1">
      <alignment horizontal="center"/>
    </xf>
    <xf numFmtId="0" fontId="0" fillId="3" borderId="1" xfId="0" applyFill="1" applyBorder="1"/>
    <xf numFmtId="2" fontId="0" fillId="3" borderId="1" xfId="0" applyNumberForma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2" fontId="4" fillId="0" borderId="0" xfId="0" applyNumberFormat="1" applyFont="1"/>
    <xf numFmtId="0" fontId="4" fillId="0" borderId="0" xfId="0" applyFont="1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43" fontId="0" fillId="0" borderId="0" xfId="1" applyFont="1"/>
    <xf numFmtId="164" fontId="0" fillId="0" borderId="0" xfId="0" applyNumberFormat="1"/>
    <xf numFmtId="14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A1 Strike, Mother</a:t>
            </a:r>
            <a:r>
              <a:rPr lang="en-US" baseline="0"/>
              <a:t> Liqour Purity and Super Saturation vs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'Pan 7 11202025'!$G$5</c:f>
              <c:strCache>
                <c:ptCount val="1"/>
                <c:pt idx="0">
                  <c:v>Super Sat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'Pan 7 11202025'!$A$6:$A$11</c:f>
              <c:numCache>
                <c:formatCode>General</c:formatCode>
                <c:ptCount val="6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90</c:v>
                </c:pt>
              </c:numCache>
            </c:numRef>
          </c:cat>
          <c:val>
            <c:numRef>
              <c:f>'Pan 7 11202025'!$G$6:$G$11</c:f>
              <c:numCache>
                <c:formatCode>General</c:formatCode>
                <c:ptCount val="6"/>
                <c:pt idx="0" formatCode="0.000">
                  <c:v>1.2404250097652325</c:v>
                </c:pt>
                <c:pt idx="1">
                  <c:v>1.1970000000000001</c:v>
                </c:pt>
                <c:pt idx="2">
                  <c:v>1.1619999999999999</c:v>
                </c:pt>
                <c:pt idx="3">
                  <c:v>1.151</c:v>
                </c:pt>
                <c:pt idx="4">
                  <c:v>1.216</c:v>
                </c:pt>
                <c:pt idx="5">
                  <c:v>1.2090000000000001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2F-429A-A1A8-14D509CFC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8506479"/>
        <c:axId val="918507439"/>
      </c:barChart>
      <c:lineChart>
        <c:grouping val="standard"/>
        <c:varyColors val="0"/>
        <c:ser>
          <c:idx val="0"/>
          <c:order val="0"/>
          <c:tx>
            <c:strRef>
              <c:f>'Pan 7 11202025'!$B$5</c:f>
              <c:strCache>
                <c:ptCount val="1"/>
                <c:pt idx="0">
                  <c:v>ML Purity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'Pan 7 11202025'!$A$6:$A$11</c:f>
              <c:numCache>
                <c:formatCode>General</c:formatCode>
                <c:ptCount val="6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90</c:v>
                </c:pt>
              </c:numCache>
            </c:numRef>
          </c:cat>
          <c:val>
            <c:numRef>
              <c:f>'Pan 7 11202025'!$B$6:$B$11</c:f>
              <c:numCache>
                <c:formatCode>General</c:formatCode>
                <c:ptCount val="6"/>
                <c:pt idx="0">
                  <c:v>80.88</c:v>
                </c:pt>
                <c:pt idx="1">
                  <c:v>81.36</c:v>
                </c:pt>
                <c:pt idx="2">
                  <c:v>80</c:v>
                </c:pt>
                <c:pt idx="3">
                  <c:v>79.22</c:v>
                </c:pt>
                <c:pt idx="4">
                  <c:v>79.42</c:v>
                </c:pt>
                <c:pt idx="5">
                  <c:v>75.36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2F-429A-A1A8-14D509CFC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4594431"/>
        <c:axId val="914591551"/>
      </c:lineChart>
      <c:catAx>
        <c:axId val="914594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591551"/>
        <c:crosses val="autoZero"/>
        <c:auto val="1"/>
        <c:lblAlgn val="ctr"/>
        <c:lblOffset val="100"/>
        <c:noMultiLvlLbl val="0"/>
      </c:catAx>
      <c:valAx>
        <c:axId val="914591551"/>
        <c:scaling>
          <c:orientation val="minMax"/>
          <c:max val="85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594431"/>
        <c:crosses val="autoZero"/>
        <c:crossBetween val="between"/>
      </c:valAx>
      <c:valAx>
        <c:axId val="918507439"/>
        <c:scaling>
          <c:orientation val="minMax"/>
          <c:max val="1.4"/>
          <c:min val="1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8506479"/>
        <c:crosses val="max"/>
        <c:crossBetween val="between"/>
      </c:valAx>
      <c:catAx>
        <c:axId val="9185064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850743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7</xdr:row>
      <xdr:rowOff>11430</xdr:rowOff>
    </xdr:from>
    <xdr:to>
      <xdr:col>5</xdr:col>
      <xdr:colOff>990600</xdr:colOff>
      <xdr:row>10</xdr:row>
      <xdr:rowOff>93345</xdr:rowOff>
    </xdr:to>
    <xdr:sp macro="[0]!Solv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B6179E3-B12E-3972-11AF-B9713582C84E}"/>
            </a:ext>
          </a:extLst>
        </xdr:cNvPr>
        <xdr:cNvSpPr/>
      </xdr:nvSpPr>
      <xdr:spPr>
        <a:xfrm>
          <a:off x="4314825" y="1278255"/>
          <a:ext cx="1943100" cy="6248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0</xdr:row>
      <xdr:rowOff>161925</xdr:rowOff>
    </xdr:from>
    <xdr:to>
      <xdr:col>22</xdr:col>
      <xdr:colOff>381000</xdr:colOff>
      <xdr:row>30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AFD224-14E2-99C6-9352-28D1105C20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018E9-E313-4260-8232-326D9DE828A3}">
  <sheetPr codeName="Sheet1"/>
  <dimension ref="A1:F27"/>
  <sheetViews>
    <sheetView zoomScale="140" zoomScaleNormal="140" workbookViewId="0">
      <selection activeCell="B13" sqref="B13"/>
    </sheetView>
  </sheetViews>
  <sheetFormatPr defaultRowHeight="15" x14ac:dyDescent="0.25"/>
  <cols>
    <col min="1" max="1" width="44" bestFit="1" customWidth="1"/>
    <col min="2" max="2" width="9.140625" bestFit="1" customWidth="1"/>
    <col min="3" max="3" width="9.42578125" bestFit="1" customWidth="1"/>
    <col min="4" max="4" width="7.5703125" customWidth="1"/>
    <col min="5" max="5" width="7.85546875" bestFit="1" customWidth="1"/>
    <col min="6" max="6" width="14.5703125" bestFit="1" customWidth="1"/>
  </cols>
  <sheetData>
    <row r="1" spans="1:6" x14ac:dyDescent="0.25">
      <c r="A1" s="24" t="s">
        <v>20</v>
      </c>
      <c r="B1" s="24"/>
      <c r="C1" s="24"/>
      <c r="D1" s="24"/>
    </row>
    <row r="2" spans="1:6" x14ac:dyDescent="0.25">
      <c r="A2" s="1" t="s">
        <v>7</v>
      </c>
      <c r="B2" s="2" t="s">
        <v>6</v>
      </c>
      <c r="C2" s="2" t="s">
        <v>19</v>
      </c>
      <c r="D2" s="2" t="s">
        <v>9</v>
      </c>
      <c r="E2" s="2" t="s">
        <v>24</v>
      </c>
      <c r="F2" s="8" t="s">
        <v>31</v>
      </c>
    </row>
    <row r="3" spans="1:6" x14ac:dyDescent="0.25">
      <c r="A3" s="1" t="s">
        <v>0</v>
      </c>
      <c r="B3" s="5">
        <v>0.1376868944078648</v>
      </c>
      <c r="C3" s="5">
        <v>0.1</v>
      </c>
      <c r="D3" s="5">
        <v>6.2649999999999997E-2</v>
      </c>
      <c r="E3" s="5">
        <v>-6.5799999999999997E-2</v>
      </c>
      <c r="F3" s="19">
        <f>D3</f>
        <v>6.2649999999999997E-2</v>
      </c>
    </row>
    <row r="4" spans="1:6" x14ac:dyDescent="0.25">
      <c r="A4" s="1" t="s">
        <v>1</v>
      </c>
      <c r="B4" s="5">
        <v>0.69099999999999995</v>
      </c>
      <c r="C4" s="5">
        <v>0.4</v>
      </c>
      <c r="D4" s="5">
        <v>0.98199999999999998</v>
      </c>
      <c r="E4" s="5">
        <v>0.996</v>
      </c>
      <c r="F4" s="19">
        <f t="shared" ref="F4:F5" si="0">D4</f>
        <v>0.98199999999999998</v>
      </c>
    </row>
    <row r="5" spans="1:6" x14ac:dyDescent="0.25">
      <c r="A5" s="1" t="s">
        <v>2</v>
      </c>
      <c r="B5" s="5">
        <v>0</v>
      </c>
      <c r="C5" s="5">
        <v>-0.24</v>
      </c>
      <c r="D5" s="5">
        <v>-2.1</v>
      </c>
      <c r="E5" s="5">
        <v>-2.0985999999999998</v>
      </c>
      <c r="F5" s="19">
        <f t="shared" si="0"/>
        <v>-2.1</v>
      </c>
    </row>
    <row r="6" spans="1:6" x14ac:dyDescent="0.25">
      <c r="A6" s="25" t="s">
        <v>3</v>
      </c>
      <c r="B6" s="25"/>
      <c r="C6" s="25"/>
      <c r="D6" s="25"/>
      <c r="E6" s="25"/>
      <c r="F6" s="25"/>
    </row>
    <row r="7" spans="1:6" x14ac:dyDescent="0.25">
      <c r="B7" s="14"/>
      <c r="C7" s="14"/>
      <c r="D7" s="14"/>
      <c r="E7" s="14"/>
      <c r="F7" s="14"/>
    </row>
    <row r="8" spans="1:6" x14ac:dyDescent="0.25">
      <c r="A8" s="25" t="s">
        <v>30</v>
      </c>
      <c r="B8" s="25"/>
    </row>
    <row r="9" spans="1:6" x14ac:dyDescent="0.25">
      <c r="A9" s="9" t="s">
        <v>29</v>
      </c>
      <c r="B9" s="10">
        <v>76</v>
      </c>
    </row>
    <row r="10" spans="1:6" x14ac:dyDescent="0.25">
      <c r="A10" s="15" t="s">
        <v>28</v>
      </c>
      <c r="B10" s="16">
        <f>B9/(B9*0.0019+0.8127)</f>
        <v>79.406540591369762</v>
      </c>
    </row>
    <row r="11" spans="1:6" x14ac:dyDescent="0.25">
      <c r="A11" s="15"/>
      <c r="B11" s="16"/>
    </row>
    <row r="12" spans="1:6" x14ac:dyDescent="0.25">
      <c r="A12" s="17" t="s">
        <v>25</v>
      </c>
      <c r="B12" s="18">
        <f>B10</f>
        <v>79.406540591369762</v>
      </c>
    </row>
    <row r="13" spans="1:6" x14ac:dyDescent="0.25">
      <c r="A13" s="4" t="s">
        <v>8</v>
      </c>
      <c r="B13" s="3">
        <f>+(D13-32)*0.555555555555556</f>
        <v>68.333333333333343</v>
      </c>
      <c r="C13" s="23" t="s">
        <v>36</v>
      </c>
      <c r="D13" s="11">
        <v>155</v>
      </c>
      <c r="E13" s="6"/>
    </row>
    <row r="14" spans="1:6" x14ac:dyDescent="0.25">
      <c r="A14" s="11" t="s">
        <v>27</v>
      </c>
      <c r="B14" s="10">
        <v>1.2</v>
      </c>
      <c r="E14" s="21"/>
    </row>
    <row r="15" spans="1:6" x14ac:dyDescent="0.25">
      <c r="A15" s="4" t="s">
        <v>18</v>
      </c>
      <c r="B15" s="3">
        <f>64.447+0.08222*B13+1.6169*10^(-3)*B13^2-1.558*10^(-6)*B13^3-4.63*10^(-8)*B13^4</f>
        <v>76.108754929783956</v>
      </c>
      <c r="E15" s="22"/>
    </row>
    <row r="16" spans="1:6" x14ac:dyDescent="0.25">
      <c r="A16" s="4" t="s">
        <v>10</v>
      </c>
      <c r="B16" s="3">
        <f>B15/(100-B15)</f>
        <v>3.1856336790360387</v>
      </c>
      <c r="E16" s="22"/>
    </row>
    <row r="17" spans="1:5" x14ac:dyDescent="0.25">
      <c r="A17" s="20" t="s">
        <v>32</v>
      </c>
      <c r="B17" s="18">
        <f>(100-B12)/100</f>
        <v>0.20593459408630238</v>
      </c>
      <c r="E17" s="22"/>
    </row>
    <row r="18" spans="1:5" x14ac:dyDescent="0.25">
      <c r="A18" s="13" t="s">
        <v>12</v>
      </c>
      <c r="B18" s="7">
        <v>83.464151228839867</v>
      </c>
    </row>
    <row r="19" spans="1:5" x14ac:dyDescent="0.25">
      <c r="A19" s="1" t="s">
        <v>4</v>
      </c>
      <c r="B19" s="3">
        <f>(B18-B18*B12/100)/(100-B18)</f>
        <v>1.0394480707906835</v>
      </c>
    </row>
    <row r="20" spans="1:5" x14ac:dyDescent="0.25">
      <c r="A20" s="1" t="s">
        <v>33</v>
      </c>
      <c r="B20" s="3">
        <f>B18*B12/100/(100-B18)</f>
        <v>4.0080189436880742</v>
      </c>
    </row>
    <row r="21" spans="1:5" x14ac:dyDescent="0.25">
      <c r="A21" s="1" t="s">
        <v>5</v>
      </c>
      <c r="B21" s="3">
        <f>F3*B19+F4+(1-F4)*EXP(F5*B19)</f>
        <v>1.0491503967766762</v>
      </c>
    </row>
    <row r="22" spans="1:5" x14ac:dyDescent="0.25">
      <c r="A22" s="1" t="s">
        <v>34</v>
      </c>
      <c r="B22" s="3">
        <f>B20/(B21*B16)</f>
        <v>1.1992125978793737</v>
      </c>
    </row>
    <row r="23" spans="1:5" x14ac:dyDescent="0.25">
      <c r="A23" s="1" t="s">
        <v>35</v>
      </c>
      <c r="B23" s="3">
        <f>B22-B14</f>
        <v>-7.8740212062622383E-4</v>
      </c>
    </row>
    <row r="27" spans="1:5" x14ac:dyDescent="0.25">
      <c r="D27" s="6"/>
    </row>
  </sheetData>
  <mergeCells count="3">
    <mergeCell ref="A1:D1"/>
    <mergeCell ref="A8:B8"/>
    <mergeCell ref="A6:F6"/>
  </mergeCells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534DF-5BF5-44E1-ACAE-CFCF056EB139}">
  <sheetPr codeName="Sheet2"/>
  <dimension ref="A1:P31"/>
  <sheetViews>
    <sheetView topLeftCell="E1" zoomScale="130" zoomScaleNormal="130" workbookViewId="0">
      <selection activeCell="I5" sqref="I5:P12"/>
    </sheetView>
  </sheetViews>
  <sheetFormatPr defaultRowHeight="15" x14ac:dyDescent="0.25"/>
  <cols>
    <col min="1" max="1" width="44" bestFit="1" customWidth="1"/>
    <col min="2" max="2" width="9.140625" bestFit="1" customWidth="1"/>
    <col min="3" max="3" width="9.42578125" bestFit="1" customWidth="1"/>
    <col min="4" max="4" width="7.5703125" customWidth="1"/>
    <col min="5" max="5" width="7.85546875" bestFit="1" customWidth="1"/>
    <col min="6" max="6" width="13.140625" bestFit="1" customWidth="1"/>
    <col min="9" max="9" width="11" customWidth="1"/>
    <col min="10" max="10" width="10" customWidth="1"/>
    <col min="11" max="11" width="9.85546875" customWidth="1"/>
    <col min="12" max="12" width="9.42578125" customWidth="1"/>
  </cols>
  <sheetData>
    <row r="1" spans="1:16" x14ac:dyDescent="0.25">
      <c r="A1" s="26" t="s">
        <v>20</v>
      </c>
      <c r="B1" s="26"/>
      <c r="C1" s="26"/>
      <c r="D1" s="26"/>
      <c r="I1" t="s">
        <v>40</v>
      </c>
      <c r="J1">
        <v>90</v>
      </c>
      <c r="L1" t="s">
        <v>45</v>
      </c>
      <c r="M1">
        <v>91</v>
      </c>
    </row>
    <row r="2" spans="1:16" x14ac:dyDescent="0.25">
      <c r="A2" s="2" t="s">
        <v>7</v>
      </c>
      <c r="B2" s="2" t="s">
        <v>6</v>
      </c>
      <c r="C2" s="2" t="s">
        <v>19</v>
      </c>
      <c r="D2" s="2" t="s">
        <v>9</v>
      </c>
      <c r="E2" s="2" t="s">
        <v>24</v>
      </c>
      <c r="F2" s="8" t="s">
        <v>31</v>
      </c>
      <c r="I2" t="s">
        <v>41</v>
      </c>
      <c r="J2">
        <v>163</v>
      </c>
      <c r="L2" t="s">
        <v>43</v>
      </c>
      <c r="M2">
        <v>89</v>
      </c>
    </row>
    <row r="3" spans="1:16" x14ac:dyDescent="0.25">
      <c r="A3" s="2" t="s">
        <v>0</v>
      </c>
      <c r="B3" s="5">
        <v>0.1376868944078648</v>
      </c>
      <c r="C3" s="5">
        <v>0.1</v>
      </c>
      <c r="D3" s="5">
        <v>6.2649999999999997E-2</v>
      </c>
      <c r="E3" s="5">
        <v>-6.5799999999999997E-2</v>
      </c>
      <c r="F3" s="19">
        <f>D3</f>
        <v>6.2649999999999997E-2</v>
      </c>
      <c r="I3" t="s">
        <v>42</v>
      </c>
      <c r="J3">
        <v>1.2</v>
      </c>
      <c r="L3" t="s">
        <v>44</v>
      </c>
      <c r="M3">
        <v>76</v>
      </c>
    </row>
    <row r="4" spans="1:16" x14ac:dyDescent="0.25">
      <c r="A4" s="2" t="s">
        <v>1</v>
      </c>
      <c r="B4" s="5">
        <v>0.69099999999999995</v>
      </c>
      <c r="C4" s="5">
        <v>0.4</v>
      </c>
      <c r="D4" s="5">
        <v>0.98199999999999998</v>
      </c>
      <c r="E4" s="5">
        <v>0.996</v>
      </c>
      <c r="F4" s="19">
        <f t="shared" ref="F4:F5" si="0">D4</f>
        <v>0.98199999999999998</v>
      </c>
    </row>
    <row r="5" spans="1:16" x14ac:dyDescent="0.25">
      <c r="A5" s="2" t="s">
        <v>2</v>
      </c>
      <c r="B5" s="5">
        <v>0</v>
      </c>
      <c r="C5" s="5">
        <v>-0.24</v>
      </c>
      <c r="D5" s="5">
        <v>-2.1</v>
      </c>
      <c r="E5" s="5">
        <v>-2.0985999999999998</v>
      </c>
      <c r="F5" s="19">
        <f t="shared" si="0"/>
        <v>-2.1</v>
      </c>
      <c r="I5" t="s">
        <v>37</v>
      </c>
      <c r="J5" t="s">
        <v>38</v>
      </c>
      <c r="K5" t="s">
        <v>39</v>
      </c>
      <c r="L5" t="s">
        <v>46</v>
      </c>
      <c r="M5" t="s">
        <v>47</v>
      </c>
      <c r="N5" t="s">
        <v>48</v>
      </c>
      <c r="O5" t="s">
        <v>42</v>
      </c>
      <c r="P5" t="s">
        <v>49</v>
      </c>
    </row>
    <row r="6" spans="1:16" x14ac:dyDescent="0.25">
      <c r="A6" s="27" t="s">
        <v>3</v>
      </c>
      <c r="B6" s="28"/>
      <c r="C6" s="28"/>
      <c r="D6" s="28"/>
      <c r="E6" s="28"/>
      <c r="F6" s="29"/>
      <c r="I6">
        <v>0</v>
      </c>
      <c r="J6">
        <v>80.88</v>
      </c>
      <c r="K6">
        <v>81.599999999999994</v>
      </c>
      <c r="L6">
        <v>86.05</v>
      </c>
      <c r="M6">
        <v>84.6</v>
      </c>
      <c r="N6">
        <v>150</v>
      </c>
      <c r="O6" s="31">
        <v>1.2404250097652325</v>
      </c>
      <c r="P6" s="30">
        <f>+(L6-J6)/(100-J6)*100</f>
        <v>27.039748953974897</v>
      </c>
    </row>
    <row r="7" spans="1:16" x14ac:dyDescent="0.25">
      <c r="A7" s="2" t="s">
        <v>4</v>
      </c>
      <c r="B7" s="3">
        <f>$B$20</f>
        <v>1.1449174875741286</v>
      </c>
      <c r="C7" s="3">
        <f>$B$20</f>
        <v>1.1449174875741286</v>
      </c>
      <c r="D7" s="3">
        <f>$B$20</f>
        <v>1.1449174875741286</v>
      </c>
      <c r="E7" s="3">
        <f>$B$20</f>
        <v>1.1449174875741286</v>
      </c>
      <c r="F7" s="7">
        <f>$B$20</f>
        <v>1.1449174875741286</v>
      </c>
      <c r="I7">
        <v>15</v>
      </c>
      <c r="J7">
        <v>81.36</v>
      </c>
      <c r="K7">
        <v>82.4</v>
      </c>
      <c r="L7">
        <v>88.44</v>
      </c>
      <c r="M7">
        <v>88.2</v>
      </c>
      <c r="N7">
        <v>157.30000000000001</v>
      </c>
      <c r="O7">
        <v>1.1970000000000001</v>
      </c>
      <c r="P7" s="30">
        <f t="shared" ref="P7:P11" si="1">+(L7-J7)/(100-J7)*100</f>
        <v>37.982832618025739</v>
      </c>
    </row>
    <row r="8" spans="1:16" x14ac:dyDescent="0.25">
      <c r="A8" s="2" t="s">
        <v>5</v>
      </c>
      <c r="B8" s="3">
        <f>B3*B7+B4+(1-B4)*EXP(B5*B7)</f>
        <v>1.1576401332173369</v>
      </c>
      <c r="C8" s="3">
        <f>C3*C7+C4+(1-C4)*EXP(C5*C7)</f>
        <v>0.97033520743317569</v>
      </c>
      <c r="D8" s="3">
        <f>D3*D7+D4+(1-D4)*EXP(D5*D7)</f>
        <v>1.0553549538106406</v>
      </c>
      <c r="E8" s="3">
        <f>E3*E7+E4+(1-E4)*EXP(E5*E7)</f>
        <v>0.92102631407113611</v>
      </c>
      <c r="F8" s="7">
        <f>F3*F7+F4+(1-F4)*EXP(F5*F7)</f>
        <v>1.0553549538106406</v>
      </c>
      <c r="I8">
        <v>30</v>
      </c>
      <c r="J8">
        <v>80</v>
      </c>
      <c r="K8">
        <v>82.2</v>
      </c>
      <c r="L8">
        <v>88.68</v>
      </c>
      <c r="M8">
        <v>89.4</v>
      </c>
      <c r="N8">
        <v>156.6</v>
      </c>
      <c r="O8">
        <v>1.1619999999999999</v>
      </c>
      <c r="P8" s="30">
        <f t="shared" si="1"/>
        <v>43.400000000000034</v>
      </c>
    </row>
    <row r="9" spans="1:16" x14ac:dyDescent="0.25">
      <c r="B9" s="14"/>
      <c r="C9" s="14"/>
      <c r="D9" s="14"/>
      <c r="E9" s="14"/>
      <c r="I9">
        <v>45</v>
      </c>
      <c r="J9">
        <v>79.22</v>
      </c>
      <c r="K9">
        <v>82</v>
      </c>
      <c r="L9">
        <v>88.81</v>
      </c>
      <c r="M9">
        <v>90.4</v>
      </c>
      <c r="N9">
        <v>153.5</v>
      </c>
      <c r="O9">
        <v>1.151</v>
      </c>
      <c r="P9" s="30">
        <f t="shared" si="1"/>
        <v>46.150144369586158</v>
      </c>
    </row>
    <row r="10" spans="1:16" x14ac:dyDescent="0.25">
      <c r="A10" s="25" t="s">
        <v>30</v>
      </c>
      <c r="B10" s="25"/>
      <c r="C10" s="14"/>
      <c r="D10" s="14"/>
      <c r="E10" s="14"/>
      <c r="I10">
        <v>60</v>
      </c>
      <c r="J10">
        <v>79.42</v>
      </c>
      <c r="K10">
        <v>83</v>
      </c>
      <c r="L10">
        <v>89.09</v>
      </c>
      <c r="M10">
        <v>90.2</v>
      </c>
      <c r="N10">
        <v>159.4</v>
      </c>
      <c r="O10">
        <v>1.216</v>
      </c>
      <c r="P10" s="30">
        <f t="shared" si="1"/>
        <v>46.987366375121489</v>
      </c>
    </row>
    <row r="11" spans="1:16" x14ac:dyDescent="0.25">
      <c r="A11" s="9" t="s">
        <v>29</v>
      </c>
      <c r="B11" s="10">
        <v>75.36</v>
      </c>
      <c r="C11" s="14"/>
      <c r="D11" s="14"/>
      <c r="E11" s="14"/>
      <c r="I11">
        <v>90</v>
      </c>
      <c r="J11">
        <v>75.36</v>
      </c>
      <c r="K11">
        <v>84.4</v>
      </c>
      <c r="L11">
        <v>89.42</v>
      </c>
      <c r="M11">
        <v>93.4</v>
      </c>
      <c r="N11">
        <v>158.30000000000001</v>
      </c>
      <c r="O11">
        <v>1.2090000000000001</v>
      </c>
      <c r="P11" s="30">
        <f t="shared" si="1"/>
        <v>57.061688311688322</v>
      </c>
    </row>
    <row r="12" spans="1:16" x14ac:dyDescent="0.25">
      <c r="A12" s="15" t="s">
        <v>28</v>
      </c>
      <c r="B12" s="16">
        <f>B11/(B11*0.0019+0.8127)</f>
        <v>78.83801800218437</v>
      </c>
      <c r="C12" s="14"/>
      <c r="D12" s="14"/>
      <c r="E12" s="14"/>
    </row>
    <row r="14" spans="1:16" x14ac:dyDescent="0.25">
      <c r="A14" s="9" t="s">
        <v>21</v>
      </c>
      <c r="B14" s="10">
        <v>84.4</v>
      </c>
    </row>
    <row r="15" spans="1:16" x14ac:dyDescent="0.25">
      <c r="A15" s="17" t="s">
        <v>28</v>
      </c>
      <c r="B15" s="18">
        <f>B12</f>
        <v>78.83801800218437</v>
      </c>
    </row>
    <row r="16" spans="1:16" x14ac:dyDescent="0.25">
      <c r="A16" s="4" t="s">
        <v>8</v>
      </c>
      <c r="B16" s="3">
        <f>+(D16-32)*0.555555555555556</f>
        <v>70.166666666666728</v>
      </c>
      <c r="C16" s="23" t="s">
        <v>36</v>
      </c>
      <c r="D16" s="11">
        <v>158.30000000000001</v>
      </c>
    </row>
    <row r="17" spans="1:4" x14ac:dyDescent="0.25">
      <c r="A17" s="4" t="s">
        <v>26</v>
      </c>
      <c r="B17" s="3">
        <f>B14*B15/100</f>
        <v>66.539287193843606</v>
      </c>
    </row>
    <row r="18" spans="1:4" x14ac:dyDescent="0.25">
      <c r="A18" s="1" t="s">
        <v>22</v>
      </c>
      <c r="B18" s="3">
        <f>B14-B17</f>
        <v>17.8607128061564</v>
      </c>
    </row>
    <row r="19" spans="1:4" x14ac:dyDescent="0.25">
      <c r="A19" s="1" t="s">
        <v>23</v>
      </c>
      <c r="B19" s="3">
        <f>100-B14</f>
        <v>15.599999999999994</v>
      </c>
    </row>
    <row r="20" spans="1:4" x14ac:dyDescent="0.25">
      <c r="A20" s="1" t="s">
        <v>4</v>
      </c>
      <c r="B20" s="3">
        <f>B18/B19</f>
        <v>1.1449174875741286</v>
      </c>
    </row>
    <row r="21" spans="1:4" x14ac:dyDescent="0.25">
      <c r="A21" s="1" t="s">
        <v>5</v>
      </c>
      <c r="B21" s="3">
        <f>F8</f>
        <v>1.0553549538106406</v>
      </c>
    </row>
    <row r="22" spans="1:4" x14ac:dyDescent="0.25">
      <c r="A22" s="4" t="s">
        <v>18</v>
      </c>
      <c r="B22" s="3">
        <f>64.447+0.08222*B16+1.6169*10^(-3)*B16^2-1.558*10^(-6)*B16^3-4.63*10^(-8)*B16^4</f>
        <v>76.516177579955027</v>
      </c>
    </row>
    <row r="23" spans="1:4" x14ac:dyDescent="0.25">
      <c r="A23" s="4" t="s">
        <v>10</v>
      </c>
      <c r="B23" s="3">
        <f>B22/(100-B22)</f>
        <v>3.2582505612307595</v>
      </c>
    </row>
    <row r="24" spans="1:4" x14ac:dyDescent="0.25">
      <c r="A24" s="4" t="s">
        <v>11</v>
      </c>
      <c r="B24" s="3">
        <f>B23*B21</f>
        <v>3.438610870551182</v>
      </c>
    </row>
    <row r="25" spans="1:4" x14ac:dyDescent="0.25">
      <c r="A25" s="4" t="s">
        <v>13</v>
      </c>
      <c r="B25" s="3">
        <f>(B23*B19+B18)/(B23*B19+B18+B19)*100</f>
        <v>81.492339476259914</v>
      </c>
    </row>
    <row r="26" spans="1:4" x14ac:dyDescent="0.25">
      <c r="A26" s="13" t="s">
        <v>12</v>
      </c>
      <c r="B26" s="12">
        <f>(B24*B19+B18)/(B24*B19+B18+B19)*100</f>
        <v>82.090177825554136</v>
      </c>
    </row>
    <row r="27" spans="1:4" x14ac:dyDescent="0.25">
      <c r="A27" s="4" t="s">
        <v>14</v>
      </c>
      <c r="B27" s="3">
        <f>(B23*B19)/(B23*B19+B18+B19)*100</f>
        <v>60.302595288544524</v>
      </c>
    </row>
    <row r="28" spans="1:4" x14ac:dyDescent="0.25">
      <c r="A28" s="4" t="s">
        <v>15</v>
      </c>
      <c r="B28" s="3">
        <f>(B24*B19)/(B24*B19+B18+B19)*100</f>
        <v>61.584909218688153</v>
      </c>
    </row>
    <row r="29" spans="1:4" x14ac:dyDescent="0.25">
      <c r="A29" s="4" t="s">
        <v>16</v>
      </c>
      <c r="B29" s="3">
        <f>B27/B25*100</f>
        <v>73.997869831816132</v>
      </c>
    </row>
    <row r="30" spans="1:4" x14ac:dyDescent="0.25">
      <c r="A30" s="4" t="s">
        <v>17</v>
      </c>
      <c r="B30" s="3">
        <f>B28/B26*100</f>
        <v>75.021044965402879</v>
      </c>
      <c r="D30" s="6"/>
    </row>
    <row r="31" spans="1:4" x14ac:dyDescent="0.25">
      <c r="A31" s="8" t="s">
        <v>27</v>
      </c>
      <c r="B31" s="19">
        <f>(B17/B19)/(B24)</f>
        <v>1.2404250097652325</v>
      </c>
    </row>
  </sheetData>
  <mergeCells count="3">
    <mergeCell ref="A1:D1"/>
    <mergeCell ref="A10:B10"/>
    <mergeCell ref="A6:F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5BD6E-8328-4A07-8EA1-96E5AEC3DB75}">
  <sheetPr codeName="Sheet3"/>
  <dimension ref="A1:H12"/>
  <sheetViews>
    <sheetView tabSelected="1" workbookViewId="0">
      <selection activeCell="K34" sqref="K34"/>
    </sheetView>
  </sheetViews>
  <sheetFormatPr defaultRowHeight="15" x14ac:dyDescent="0.25"/>
  <cols>
    <col min="1" max="1" width="10.42578125" bestFit="1" customWidth="1"/>
    <col min="6" max="6" width="10.28515625" customWidth="1"/>
  </cols>
  <sheetData>
    <row r="1" spans="1:8" x14ac:dyDescent="0.25">
      <c r="A1" t="s">
        <v>50</v>
      </c>
    </row>
    <row r="2" spans="1:8" x14ac:dyDescent="0.25">
      <c r="A2" t="s">
        <v>51</v>
      </c>
    </row>
    <row r="3" spans="1:8" x14ac:dyDescent="0.25">
      <c r="A3" t="s">
        <v>52</v>
      </c>
    </row>
    <row r="4" spans="1:8" x14ac:dyDescent="0.25">
      <c r="A4" s="32">
        <v>45981</v>
      </c>
    </row>
    <row r="5" spans="1:8" x14ac:dyDescent="0.25">
      <c r="A5" t="s">
        <v>37</v>
      </c>
      <c r="B5" t="s">
        <v>38</v>
      </c>
      <c r="C5" t="s">
        <v>39</v>
      </c>
      <c r="D5" t="s">
        <v>46</v>
      </c>
      <c r="E5" t="s">
        <v>47</v>
      </c>
      <c r="F5" t="s">
        <v>48</v>
      </c>
      <c r="G5" t="s">
        <v>42</v>
      </c>
      <c r="H5" t="s">
        <v>49</v>
      </c>
    </row>
    <row r="6" spans="1:8" x14ac:dyDescent="0.25">
      <c r="A6">
        <v>0</v>
      </c>
      <c r="B6">
        <v>80.88</v>
      </c>
      <c r="C6">
        <v>81.599999999999994</v>
      </c>
      <c r="D6">
        <v>86.05</v>
      </c>
      <c r="E6">
        <v>84.6</v>
      </c>
      <c r="F6">
        <v>150</v>
      </c>
      <c r="G6" s="31">
        <v>1.2404250097652325</v>
      </c>
      <c r="H6" s="30">
        <f>+(D6-B6)/(100-B6)*100</f>
        <v>27.039748953974897</v>
      </c>
    </row>
    <row r="7" spans="1:8" x14ac:dyDescent="0.25">
      <c r="A7">
        <v>15</v>
      </c>
      <c r="B7">
        <v>81.36</v>
      </c>
      <c r="C7">
        <v>82.4</v>
      </c>
      <c r="D7">
        <v>88.44</v>
      </c>
      <c r="E7">
        <v>88.2</v>
      </c>
      <c r="F7">
        <v>157.30000000000001</v>
      </c>
      <c r="G7">
        <v>1.1970000000000001</v>
      </c>
      <c r="H7" s="30">
        <f t="shared" ref="H7:H11" si="0">+(D7-B7)/(100-B7)*100</f>
        <v>37.982832618025739</v>
      </c>
    </row>
    <row r="8" spans="1:8" x14ac:dyDescent="0.25">
      <c r="A8">
        <v>30</v>
      </c>
      <c r="B8">
        <v>80</v>
      </c>
      <c r="C8">
        <v>82.2</v>
      </c>
      <c r="D8">
        <v>88.68</v>
      </c>
      <c r="E8">
        <v>89.4</v>
      </c>
      <c r="F8">
        <v>156.6</v>
      </c>
      <c r="G8">
        <v>1.1619999999999999</v>
      </c>
      <c r="H8" s="30">
        <f t="shared" si="0"/>
        <v>43.400000000000034</v>
      </c>
    </row>
    <row r="9" spans="1:8" x14ac:dyDescent="0.25">
      <c r="A9">
        <v>45</v>
      </c>
      <c r="B9">
        <v>79.22</v>
      </c>
      <c r="C9">
        <v>82</v>
      </c>
      <c r="D9">
        <v>88.81</v>
      </c>
      <c r="E9">
        <v>90.4</v>
      </c>
      <c r="F9">
        <v>153.5</v>
      </c>
      <c r="G9">
        <v>1.151</v>
      </c>
      <c r="H9" s="30">
        <f t="shared" si="0"/>
        <v>46.150144369586158</v>
      </c>
    </row>
    <row r="10" spans="1:8" x14ac:dyDescent="0.25">
      <c r="A10">
        <v>60</v>
      </c>
      <c r="B10">
        <v>79.42</v>
      </c>
      <c r="C10">
        <v>83</v>
      </c>
      <c r="D10">
        <v>89.09</v>
      </c>
      <c r="E10">
        <v>90.2</v>
      </c>
      <c r="F10">
        <v>159.4</v>
      </c>
      <c r="G10">
        <v>1.216</v>
      </c>
      <c r="H10" s="30">
        <f t="shared" si="0"/>
        <v>46.987366375121489</v>
      </c>
    </row>
    <row r="11" spans="1:8" x14ac:dyDescent="0.25">
      <c r="A11">
        <v>90</v>
      </c>
      <c r="B11">
        <v>75.36</v>
      </c>
      <c r="C11">
        <v>84.4</v>
      </c>
      <c r="D11">
        <v>89.42</v>
      </c>
      <c r="E11">
        <v>93.4</v>
      </c>
      <c r="F11">
        <v>158.30000000000001</v>
      </c>
      <c r="G11">
        <v>1.2090000000000001</v>
      </c>
      <c r="H11" s="30">
        <f t="shared" si="0"/>
        <v>57.061688311688322</v>
      </c>
    </row>
    <row r="12" spans="1:8" x14ac:dyDescent="0.25">
      <c r="A12" t="s">
        <v>53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SeedingPoint</vt:lpstr>
      <vt:lpstr>SuperSaturation</vt:lpstr>
      <vt:lpstr>Pan 7 11202025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Antonio Garcia Carcamo</dc:creator>
  <cp:lastModifiedBy>Anon</cp:lastModifiedBy>
  <cp:lastPrinted>2025-09-18T15:56:01Z</cp:lastPrinted>
  <dcterms:created xsi:type="dcterms:W3CDTF">2025-09-18T01:12:58Z</dcterms:created>
  <dcterms:modified xsi:type="dcterms:W3CDTF">2025-11-22T20:06:16Z</dcterms:modified>
</cp:coreProperties>
</file>