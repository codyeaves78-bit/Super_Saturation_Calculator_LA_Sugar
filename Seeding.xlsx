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OneDrive - LSU AgCenter\Documents\Audubon Sugar Institute\Calculators\"/>
    </mc:Choice>
  </mc:AlternateContent>
  <xr:revisionPtr revIDLastSave="0" documentId="13_ncr:1_{8DB29D7F-ADFF-4F85-A2D9-A1752EF7D3C5}" xr6:coauthVersionLast="47" xr6:coauthVersionMax="47" xr10:uidLastSave="{00000000-0000-0000-0000-000000000000}"/>
  <bookViews>
    <workbookView xWindow="-108" yWindow="-108" windowWidth="23256" windowHeight="13896" xr2:uid="{45A1B2C0-907E-44D2-8C93-8EB28F14BD50}"/>
  </bookViews>
  <sheets>
    <sheet name="Slur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7" i="1"/>
  <c r="B15" i="1"/>
  <c r="B16" i="1" s="1"/>
  <c r="B18" i="1" l="1"/>
  <c r="B19" i="1"/>
  <c r="B20" i="1" s="1"/>
  <c r="B23" i="1"/>
  <c r="B24" i="1"/>
  <c r="B22" i="1"/>
  <c r="B25" i="1" l="1"/>
  <c r="B26" i="1" l="1"/>
  <c r="B27" i="1" l="1"/>
  <c r="B30" i="1" s="1"/>
  <c r="B28" i="1"/>
  <c r="B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Carcamo, Ricardo</author>
  </authors>
  <commentList>
    <comment ref="A25" authorId="0" shapeId="0" xr:uid="{E6D17ADA-2F07-444E-BD3A-8183791232BE}">
      <text>
        <r>
          <rPr>
            <b/>
            <sz val="12"/>
            <color indexed="81"/>
            <rFont val="Tahoma"/>
            <family val="2"/>
          </rPr>
          <t>Carcamo, Ricardo:</t>
        </r>
        <r>
          <rPr>
            <sz val="12"/>
            <color indexed="81"/>
            <rFont val="Tahoma"/>
            <family val="2"/>
          </rPr>
          <t xml:space="preserve">
From ICUMSA</t>
        </r>
      </text>
    </comment>
  </commentList>
</comments>
</file>

<file path=xl/sharedStrings.xml><?xml version="1.0" encoding="utf-8"?>
<sst xmlns="http://schemas.openxmlformats.org/spreadsheetml/2006/main" count="39" uniqueCount="37">
  <si>
    <t>Volume of C Massecuite (ft3)</t>
  </si>
  <si>
    <t>C Massecuite Brix (%)</t>
  </si>
  <si>
    <t>C Massecuite Density (kg/m3)</t>
  </si>
  <si>
    <t>tao</t>
  </si>
  <si>
    <t>Density of water (kg/m3)</t>
  </si>
  <si>
    <t>w</t>
  </si>
  <si>
    <t>Density of Slurry (kg/m3)</t>
  </si>
  <si>
    <t>C Massecuite Crystal Content (g crystals/100g Massecuite)</t>
  </si>
  <si>
    <r>
      <t>Temperature (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C)</t>
    </r>
  </si>
  <si>
    <r>
      <t>Mean diameter C Massecuite (</t>
    </r>
    <r>
      <rPr>
        <sz val="11"/>
        <color theme="1"/>
        <rFont val="Aptos Narrow"/>
        <family val="2"/>
      </rPr>
      <t>µm)</t>
    </r>
    <r>
      <rPr>
        <sz val="11"/>
        <color theme="1"/>
        <rFont val="Aptos Narrow"/>
        <family val="2"/>
        <scheme val="minor"/>
      </rPr>
      <t xml:space="preserve"> </t>
    </r>
  </si>
  <si>
    <r>
      <t>Mean diameter slurry (</t>
    </r>
    <r>
      <rPr>
        <sz val="11"/>
        <color theme="1"/>
        <rFont val="Aptos Narrow"/>
        <family val="2"/>
      </rPr>
      <t>µm)</t>
    </r>
    <r>
      <rPr>
        <sz val="11"/>
        <color theme="1"/>
        <rFont val="Aptos Narrow"/>
        <family val="2"/>
        <scheme val="minor"/>
      </rPr>
      <t xml:space="preserve"> </t>
    </r>
  </si>
  <si>
    <t>Volume of Slurry (m3)</t>
  </si>
  <si>
    <t>Inputs</t>
  </si>
  <si>
    <t>Outputs</t>
  </si>
  <si>
    <t>Volume of Slurry (L)</t>
  </si>
  <si>
    <t>Volume of Slurry (gal)</t>
  </si>
  <si>
    <t>Slurry crystal content  (kg sugar/m3 slurry)</t>
  </si>
  <si>
    <t>Density of dispersant (kg/m3)</t>
  </si>
  <si>
    <t>Slurry crystal content  (kg sugar/kg slurry)</t>
  </si>
  <si>
    <t>Volume of C Massecuite (m3)</t>
  </si>
  <si>
    <t>Security factor</t>
  </si>
  <si>
    <t>Conversions</t>
  </si>
  <si>
    <t>gal</t>
  </si>
  <si>
    <t>m3</t>
  </si>
  <si>
    <t>ft3</t>
  </si>
  <si>
    <t>kg</t>
  </si>
  <si>
    <t>lb</t>
  </si>
  <si>
    <t>Density of sugar crystal (kg/m3)</t>
  </si>
  <si>
    <t>Volume of batch slurry (m3)</t>
  </si>
  <si>
    <t>Volume of batch slurry (gal)</t>
  </si>
  <si>
    <t>Weight of slurry batch (kg)</t>
  </si>
  <si>
    <t>Weight of sugar for slurry batch (lb/batch)</t>
  </si>
  <si>
    <t>Volume of dispersant for slurry batch (gal/batch)</t>
  </si>
  <si>
    <t>Number of crystallizations (#)</t>
  </si>
  <si>
    <t>Volume of Slurry (gal/crystallization)</t>
  </si>
  <si>
    <t>L</t>
  </si>
  <si>
    <t>Volume of Slurry (L/crystallization)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</si>
</sst>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0" xfId="0" applyNumberFormat="1"/>
    <xf numFmtId="164" fontId="1" fillId="3" borderId="1" xfId="0" applyNumberFormat="1" applyFont="1" applyFill="1" applyBorder="1"/>
    <xf numFmtId="0" fontId="1" fillId="3" borderId="1" xfId="0" applyFont="1" applyFill="1" applyBorder="1"/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4B5B-772C-476B-976D-D4C1F5781BDB}">
  <dimension ref="A1:G30"/>
  <sheetViews>
    <sheetView tabSelected="1" topLeftCell="A20" zoomScale="127" workbookViewId="0">
      <selection activeCell="A31" sqref="A31"/>
    </sheetView>
  </sheetViews>
  <sheetFormatPr defaultRowHeight="14.4" x14ac:dyDescent="0.3"/>
  <cols>
    <col min="1" max="1" width="48.33203125" bestFit="1" customWidth="1"/>
    <col min="2" max="2" width="10.21875" style="12" bestFit="1" customWidth="1"/>
    <col min="4" max="4" width="11.109375" bestFit="1" customWidth="1"/>
  </cols>
  <sheetData>
    <row r="1" spans="1:7" x14ac:dyDescent="0.3">
      <c r="A1" s="16" t="s">
        <v>12</v>
      </c>
      <c r="B1" s="16"/>
      <c r="D1" s="18" t="s">
        <v>21</v>
      </c>
      <c r="E1" s="18"/>
      <c r="F1" s="18"/>
      <c r="G1" s="18"/>
    </row>
    <row r="2" spans="1:7" x14ac:dyDescent="0.3">
      <c r="A2" s="1" t="s">
        <v>0</v>
      </c>
      <c r="B2" s="8">
        <v>11031.66</v>
      </c>
      <c r="D2" s="15">
        <v>264.17200000000003</v>
      </c>
      <c r="E2" s="6" t="s">
        <v>22</v>
      </c>
      <c r="F2" s="6">
        <v>1</v>
      </c>
      <c r="G2" s="6" t="s">
        <v>23</v>
      </c>
    </row>
    <row r="3" spans="1:7" x14ac:dyDescent="0.3">
      <c r="A3" s="1" t="s">
        <v>1</v>
      </c>
      <c r="B3" s="8">
        <v>95.5</v>
      </c>
      <c r="D3" s="15">
        <v>35.314700000000002</v>
      </c>
      <c r="E3" s="6" t="s">
        <v>24</v>
      </c>
      <c r="F3" s="6">
        <v>1</v>
      </c>
      <c r="G3" s="6" t="s">
        <v>23</v>
      </c>
    </row>
    <row r="4" spans="1:7" x14ac:dyDescent="0.3">
      <c r="A4" s="1" t="s">
        <v>7</v>
      </c>
      <c r="B4" s="8">
        <v>31.31</v>
      </c>
      <c r="D4" s="15">
        <v>2.2046199999999998</v>
      </c>
      <c r="E4" s="6" t="s">
        <v>26</v>
      </c>
      <c r="F4" s="6">
        <v>1</v>
      </c>
      <c r="G4" s="6" t="s">
        <v>25</v>
      </c>
    </row>
    <row r="5" spans="1:7" x14ac:dyDescent="0.3">
      <c r="A5" s="1" t="s">
        <v>9</v>
      </c>
      <c r="B5" s="8">
        <v>250</v>
      </c>
      <c r="D5" s="15">
        <v>1000</v>
      </c>
      <c r="E5" s="6" t="s">
        <v>35</v>
      </c>
      <c r="F5" s="6">
        <v>1</v>
      </c>
      <c r="G5" s="6" t="s">
        <v>23</v>
      </c>
    </row>
    <row r="6" spans="1:7" x14ac:dyDescent="0.3">
      <c r="A6" s="1" t="s">
        <v>8</v>
      </c>
      <c r="B6" s="8">
        <v>65</v>
      </c>
    </row>
    <row r="7" spans="1:7" x14ac:dyDescent="0.3">
      <c r="A7" s="1" t="s">
        <v>31</v>
      </c>
      <c r="B7" s="8">
        <v>4</v>
      </c>
      <c r="E7" s="7"/>
    </row>
    <row r="8" spans="1:7" x14ac:dyDescent="0.3">
      <c r="A8" s="1" t="s">
        <v>32</v>
      </c>
      <c r="B8" s="8">
        <v>1</v>
      </c>
    </row>
    <row r="9" spans="1:7" x14ac:dyDescent="0.3">
      <c r="A9" s="1" t="s">
        <v>17</v>
      </c>
      <c r="B9" s="8">
        <v>786</v>
      </c>
    </row>
    <row r="10" spans="1:7" x14ac:dyDescent="0.3">
      <c r="A10" s="1" t="s">
        <v>10</v>
      </c>
      <c r="B10" s="8">
        <v>12</v>
      </c>
    </row>
    <row r="11" spans="1:7" x14ac:dyDescent="0.3">
      <c r="A11" s="1" t="s">
        <v>33</v>
      </c>
      <c r="B11" s="8">
        <v>7</v>
      </c>
    </row>
    <row r="12" spans="1:7" x14ac:dyDescent="0.3">
      <c r="A12" s="1" t="s">
        <v>20</v>
      </c>
      <c r="B12" s="8">
        <v>1.1000000000000001</v>
      </c>
    </row>
    <row r="13" spans="1:7" x14ac:dyDescent="0.3">
      <c r="A13" s="17" t="s">
        <v>13</v>
      </c>
      <c r="B13" s="17"/>
    </row>
    <row r="14" spans="1:7" x14ac:dyDescent="0.3">
      <c r="A14" s="5" t="s">
        <v>27</v>
      </c>
      <c r="B14" s="9">
        <v>1590</v>
      </c>
    </row>
    <row r="15" spans="1:7" x14ac:dyDescent="0.3">
      <c r="A15" s="5" t="s">
        <v>28</v>
      </c>
      <c r="B15" s="9">
        <f>B7/D4/B14+B8/D2</f>
        <v>4.9265267718319192E-3</v>
      </c>
    </row>
    <row r="16" spans="1:7" x14ac:dyDescent="0.3">
      <c r="A16" s="14" t="s">
        <v>29</v>
      </c>
      <c r="B16" s="13">
        <f>B15*D2</f>
        <v>1.3014504303683818</v>
      </c>
    </row>
    <row r="17" spans="1:2" x14ac:dyDescent="0.3">
      <c r="A17" s="5" t="s">
        <v>30</v>
      </c>
      <c r="B17" s="9">
        <f>B7/D4+B8/D2*B9</f>
        <v>4.7897058896693334</v>
      </c>
    </row>
    <row r="18" spans="1:2" x14ac:dyDescent="0.3">
      <c r="A18" s="5" t="s">
        <v>6</v>
      </c>
      <c r="B18" s="9">
        <f>B17/B15</f>
        <v>972.22771975078308</v>
      </c>
    </row>
    <row r="19" spans="1:2" x14ac:dyDescent="0.3">
      <c r="A19" s="5" t="s">
        <v>18</v>
      </c>
      <c r="B19" s="9">
        <f>B7/D4/B17</f>
        <v>0.37880648197123801</v>
      </c>
    </row>
    <row r="20" spans="1:2" x14ac:dyDescent="0.3">
      <c r="A20" s="5" t="s">
        <v>16</v>
      </c>
      <c r="B20" s="9">
        <f>B19*B18</f>
        <v>368.28616219371287</v>
      </c>
    </row>
    <row r="21" spans="1:2" x14ac:dyDescent="0.3">
      <c r="A21" s="4" t="s">
        <v>19</v>
      </c>
      <c r="B21" s="10">
        <f>B2/D3</f>
        <v>312.3815295047105</v>
      </c>
    </row>
    <row r="22" spans="1:2" x14ac:dyDescent="0.3">
      <c r="A22" s="2" t="s">
        <v>3</v>
      </c>
      <c r="B22" s="10">
        <f>(B6-20)/100</f>
        <v>0.45</v>
      </c>
    </row>
    <row r="23" spans="1:2" x14ac:dyDescent="0.3">
      <c r="A23" s="2" t="s">
        <v>5</v>
      </c>
      <c r="B23" s="10">
        <f>B3/100</f>
        <v>0.95499999999999996</v>
      </c>
    </row>
    <row r="24" spans="1:2" x14ac:dyDescent="0.3">
      <c r="A24" s="2" t="s">
        <v>4</v>
      </c>
      <c r="B24" s="10">
        <f>(999.83952+16.952577*B6-0.0079905127*B6^2-0.000046241757*B6^3+0.00000010584601*B6^4-0.00000000028103006*B6^5)/(1+0.016889236*B6)</f>
        <v>980.484781127774</v>
      </c>
    </row>
    <row r="25" spans="1:2" x14ac:dyDescent="0.3">
      <c r="A25" s="2" t="s">
        <v>2</v>
      </c>
      <c r="B25" s="10">
        <f>B24+385.1761*B23+135.3705*B23^2+40.9299*B23^3-3.9643*B23^4+13.4853*B23^5-17.289*B23^6+(-46.272*B23-7.172*B23^2+1.1597*B23^3+5.1126*B23^4+17.5254*B23^5)*B22+(59.7712*B23+7.2491*B23^2+12.363*B23^3-35.4791*B23^4)*B22^2+(-47.2207*B23-21.6977*B23^2+27.6301*B23^3)*B22^3+(18.3184*B23+12.3081*B23^2)*B22^4</f>
        <v>1494.1019041766642</v>
      </c>
    </row>
    <row r="26" spans="1:2" x14ac:dyDescent="0.3">
      <c r="A26" s="3" t="s">
        <v>11</v>
      </c>
      <c r="B26" s="11">
        <f>(1/B20)*(B10/B5)^3*B21*B25*B4/100*B12</f>
        <v>4.8270259096411992E-2</v>
      </c>
    </row>
    <row r="27" spans="1:2" x14ac:dyDescent="0.3">
      <c r="A27" s="3" t="s">
        <v>14</v>
      </c>
      <c r="B27" s="11">
        <f>B26*D5</f>
        <v>48.270259096411991</v>
      </c>
    </row>
    <row r="28" spans="1:2" x14ac:dyDescent="0.3">
      <c r="A28" s="3" t="s">
        <v>15</v>
      </c>
      <c r="B28" s="11">
        <f>B26*D2</f>
        <v>12.75165088601735</v>
      </c>
    </row>
    <row r="29" spans="1:2" x14ac:dyDescent="0.3">
      <c r="A29" s="3" t="s">
        <v>34</v>
      </c>
      <c r="B29" s="11">
        <f>B28/B11</f>
        <v>1.8216644122881929</v>
      </c>
    </row>
    <row r="30" spans="1:2" x14ac:dyDescent="0.3">
      <c r="A30" s="3" t="s">
        <v>36</v>
      </c>
      <c r="B30" s="11">
        <f>B27/B11</f>
        <v>6.8957512994874275</v>
      </c>
    </row>
  </sheetData>
  <mergeCells count="3">
    <mergeCell ref="A1:B1"/>
    <mergeCell ref="A13:B13"/>
    <mergeCell ref="D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Slurry</vt:lpstr>
    </vt:vector>
  </TitlesOfParts>
  <Company>LSU AgCenter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Carcamo, Ricardo</dc:creator>
  <cp:lastModifiedBy>Carcamo, Ricardo</cp:lastModifiedBy>
  <dcterms:created xsi:type="dcterms:W3CDTF">2025-10-27T22:13:06Z</dcterms:created>
  <dcterms:modified xsi:type="dcterms:W3CDTF">2025-11-13T20:11:40Z</dcterms:modified>
</cp:coreProperties>
</file>